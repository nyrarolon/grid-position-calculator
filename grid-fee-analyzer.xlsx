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Fe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b val="1"/>
      <color rgb="00FFD700"/>
      <sz val="12"/>
    </font>
    <font>
      <b val="1"/>
      <sz val="10"/>
    </font>
    <font>
      <sz val="10"/>
    </font>
    <font>
      <b val="1"/>
      <color rgb="0000D4AA"/>
      <sz val="10"/>
    </font>
    <font>
      <color rgb="00888888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1a2a5a"/>
      </left>
      <right style="thin">
        <color rgb="001a2a5a"/>
      </right>
      <top style="thin">
        <color rgb="001a2a5a"/>
      </top>
      <bottom style="thin">
        <color rgb="001a2a5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Grid Trading Fee Analyzer</t>
        </is>
      </c>
    </row>
    <row r="2">
      <c r="A2" s="2" t="inlineStr">
        <is>
          <t>Calculate if your grid is profitable after fees</t>
        </is>
      </c>
    </row>
    <row r="4">
      <c r="A4" s="3" t="inlineStr">
        <is>
          <t>INPUTS</t>
        </is>
      </c>
    </row>
    <row r="5">
      <c r="A5" s="4" t="inlineStr">
        <is>
          <t>Pair</t>
        </is>
      </c>
      <c r="B5" s="5" t="inlineStr">
        <is>
          <t>ETH/USD</t>
        </is>
      </c>
    </row>
    <row r="6">
      <c r="A6" s="4" t="inlineStr">
        <is>
          <t>Current Price ($)</t>
        </is>
      </c>
      <c r="B6" s="5" t="n">
        <v>1850</v>
      </c>
    </row>
    <row r="7">
      <c r="A7" s="4" t="inlineStr">
        <is>
          <t>Budget ($)</t>
        </is>
      </c>
      <c r="B7" s="5" t="n">
        <v>200</v>
      </c>
    </row>
    <row r="8">
      <c r="A8" s="4" t="inlineStr">
        <is>
          <t>Grid Levels</t>
        </is>
      </c>
      <c r="B8" s="5" t="n">
        <v>5</v>
      </c>
    </row>
    <row r="9">
      <c r="A9" s="4" t="inlineStr">
        <is>
          <t>Grid Range (%)</t>
        </is>
      </c>
      <c r="B9" s="5" t="n">
        <v>15</v>
      </c>
    </row>
    <row r="10">
      <c r="A10" s="4" t="inlineStr">
        <is>
          <t>Maker Fee (%)</t>
        </is>
      </c>
      <c r="B10" s="5" t="n">
        <v>0.16</v>
      </c>
    </row>
    <row r="11">
      <c r="A11" s="4" t="inlineStr">
        <is>
          <t>Taker Fee (%)</t>
        </is>
      </c>
      <c r="B11" s="5" t="n">
        <v>0.26</v>
      </c>
    </row>
    <row r="12">
      <c r="A12" s="4" t="inlineStr">
        <is>
          <t>Est. Daily Fills</t>
        </is>
      </c>
      <c r="B12" s="5" t="n">
        <v>3</v>
      </c>
    </row>
    <row r="13">
      <c r="A13" s="4" t="inlineStr">
        <is>
          <t>Days to Analyze</t>
        </is>
      </c>
      <c r="B13" s="5" t="n">
        <v>30</v>
      </c>
    </row>
    <row r="16">
      <c r="A16" s="3" t="inlineStr">
        <is>
          <t>RESULTS</t>
        </is>
      </c>
    </row>
    <row r="17">
      <c r="A17" s="4" t="inlineStr">
        <is>
          <t>Grid Spacing (%)</t>
        </is>
      </c>
      <c r="B17" s="6">
        <f>B9/B8</f>
        <v/>
      </c>
    </row>
    <row r="18">
      <c r="A18" s="4" t="inlineStr">
        <is>
          <t>Round-Trip Fee (%)</t>
        </is>
      </c>
      <c r="B18" s="6">
        <f>(B10+B11)</f>
        <v/>
      </c>
    </row>
    <row r="19">
      <c r="A19" s="4" t="inlineStr">
        <is>
          <t>Net Profit per Cycle (%)</t>
        </is>
      </c>
      <c r="B19" s="6">
        <f>B17-B18</f>
        <v/>
      </c>
    </row>
    <row r="20">
      <c r="A20" s="4" t="inlineStr">
        <is>
          <t>Min Profitable Spacing (%)</t>
        </is>
      </c>
      <c r="B20" s="6">
        <f>B18*2</f>
        <v/>
      </c>
    </row>
    <row r="21">
      <c r="A21" s="4" t="inlineStr">
        <is>
          <t>Est. Profit per Fill ($)</t>
        </is>
      </c>
      <c r="B21" s="6">
        <f>B7/B8*B19/100</f>
        <v/>
      </c>
    </row>
    <row r="22">
      <c r="A22" s="4" t="inlineStr">
        <is>
          <t>Est. Monthly Profit ($)</t>
        </is>
      </c>
      <c r="B22" s="6">
        <f>B21*B12*B13</f>
        <v/>
      </c>
    </row>
    <row r="23">
      <c r="A23" s="4" t="inlineStr">
        <is>
          <t>Monthly Return (%)</t>
        </is>
      </c>
      <c r="B23" s="6">
        <f>B22/B7*100</f>
        <v/>
      </c>
    </row>
    <row r="24">
      <c r="A24" s="4" t="inlineStr">
        <is>
          <t>Fee-to-Profit Ratio</t>
        </is>
      </c>
      <c r="B24" s="6">
        <f>B13*B12*B7/B8*B10/100/B22</f>
        <v/>
      </c>
    </row>
    <row r="27">
      <c r="A27" s="3" t="inlineStr">
        <is>
          <t>NOTES</t>
        </is>
      </c>
    </row>
    <row r="28">
      <c r="A28" s="7" t="inlineStr">
        <is>
          <t xml:space="preserve">  1. Round-trip fee = maker fee + taker fee (for limit orders that get filled as market)</t>
        </is>
      </c>
    </row>
    <row r="29">
      <c r="A29" s="7" t="inlineStr">
        <is>
          <t xml:space="preserve">  2. Min profitable spacing = 2x round-trip fee. Below this, you lose money.</t>
        </is>
      </c>
    </row>
    <row r="30">
      <c r="A30" s="7" t="inlineStr">
        <is>
          <t xml:space="preserve">  3. Fee-to-Profit ratio &lt; 1 = profitable. &gt; 1 = exchange makes more than you.</t>
        </is>
      </c>
    </row>
    <row r="31">
      <c r="A31" s="7" t="inlineStr">
        <is>
          <t xml:space="preserve">  4. Built with Cerberus Trading OS — ratefoundry.gumroad.com/l/xrtjjv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2026-07-24T08:53:10Z</dcterms:created>
  <dcterms:modified xsi:type="dcterms:W3CDTF">2026-07-24T08:53:10Z</dcterms:modified>
</cp:coreProperties>
</file>